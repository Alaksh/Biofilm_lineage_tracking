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houdhu\Research\Metabolic Engineering - Genoscope\Planning and Experiments\Biofilms\Manuscript\Final draft\Submission code\"/>
    </mc:Choice>
  </mc:AlternateContent>
  <bookViews>
    <workbookView xWindow="0" yWindow="0" windowWidth="28800" windowHeight="12180" activeTab="1"/>
  </bookViews>
  <sheets>
    <sheet name="Sheet1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2" l="1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F10" i="1" l="1"/>
  <c r="F16" i="1"/>
  <c r="F15" i="1"/>
  <c r="F14" i="1"/>
  <c r="F13" i="1"/>
  <c r="F12" i="1"/>
  <c r="F11" i="1"/>
  <c r="F9" i="1"/>
  <c r="F8" i="1"/>
  <c r="F7" i="1"/>
  <c r="F22" i="1" s="1"/>
  <c r="E16" i="1"/>
  <c r="E15" i="1"/>
  <c r="E14" i="1"/>
  <c r="E13" i="1"/>
  <c r="E12" i="1"/>
  <c r="E11" i="1"/>
  <c r="E10" i="1"/>
  <c r="E9" i="1"/>
  <c r="E8" i="1"/>
  <c r="E7" i="1"/>
  <c r="E19" i="1" s="1"/>
  <c r="D16" i="1"/>
  <c r="D15" i="1"/>
  <c r="D14" i="1"/>
  <c r="D13" i="1"/>
  <c r="D12" i="1"/>
  <c r="D20" i="1" s="1"/>
  <c r="D11" i="1"/>
  <c r="D10" i="1"/>
  <c r="D9" i="1"/>
  <c r="D8" i="1"/>
  <c r="D7" i="1"/>
  <c r="C16" i="1"/>
  <c r="C15" i="1"/>
  <c r="C14" i="1"/>
  <c r="C13" i="1"/>
  <c r="C12" i="1"/>
  <c r="C23" i="1" s="1"/>
  <c r="C11" i="1"/>
  <c r="C10" i="1"/>
  <c r="C9" i="1"/>
  <c r="C8" i="1"/>
  <c r="C7" i="1"/>
  <c r="B16" i="1"/>
  <c r="B15" i="1"/>
  <c r="B14" i="1"/>
  <c r="B13" i="1"/>
  <c r="B12" i="1"/>
  <c r="B23" i="1" s="1"/>
  <c r="B11" i="1"/>
  <c r="B10" i="1"/>
  <c r="B9" i="1"/>
  <c r="B8" i="1"/>
  <c r="B7" i="1"/>
  <c r="F6" i="1"/>
  <c r="E6" i="1"/>
  <c r="D6" i="1"/>
  <c r="C6" i="1"/>
  <c r="B6" i="1"/>
  <c r="F5" i="1"/>
  <c r="E5" i="1"/>
  <c r="D5" i="1"/>
  <c r="C5" i="1"/>
  <c r="B5" i="1"/>
  <c r="B22" i="1" l="1"/>
  <c r="C19" i="1"/>
  <c r="D23" i="1"/>
  <c r="E23" i="1"/>
  <c r="F23" i="1"/>
  <c r="D19" i="1"/>
  <c r="F19" i="1"/>
  <c r="F20" i="1"/>
  <c r="E20" i="1"/>
  <c r="C20" i="1"/>
  <c r="B19" i="1"/>
  <c r="B20" i="1"/>
  <c r="E22" i="1"/>
  <c r="D22" i="1"/>
  <c r="C22" i="1"/>
</calcChain>
</file>

<file path=xl/sharedStrings.xml><?xml version="1.0" encoding="utf-8"?>
<sst xmlns="http://schemas.openxmlformats.org/spreadsheetml/2006/main" count="152" uniqueCount="31">
  <si>
    <t>R1</t>
  </si>
  <si>
    <t>R2</t>
  </si>
  <si>
    <t>R3</t>
  </si>
  <si>
    <t>R4</t>
  </si>
  <si>
    <t>R5</t>
  </si>
  <si>
    <t>Mean</t>
  </si>
  <si>
    <t>SD</t>
  </si>
  <si>
    <t>Plk after O/N (CFU/mL, total volume = 5mL)</t>
  </si>
  <si>
    <t>Plk after O/N</t>
  </si>
  <si>
    <t>Absolute number of cells</t>
  </si>
  <si>
    <t>Plk after Refill (CFU/mL, total volume = 5mL)</t>
  </si>
  <si>
    <t>Discs before Refill</t>
  </si>
  <si>
    <t>Discs after Refill</t>
  </si>
  <si>
    <t>Plk after Refill</t>
  </si>
  <si>
    <t>Before refill-Disc1 (CFU/disc)</t>
  </si>
  <si>
    <t>Before refill-Disc2</t>
  </si>
  <si>
    <t>Before refill-Disc3</t>
  </si>
  <si>
    <t>Before refill-Disc4</t>
  </si>
  <si>
    <t>Before refill-Disc5</t>
  </si>
  <si>
    <t>After refill-Disc1</t>
  </si>
  <si>
    <t>After refill-Disc2</t>
  </si>
  <si>
    <t>After refill-Disc3</t>
  </si>
  <si>
    <t>After refill-Disc4</t>
  </si>
  <si>
    <t>After refill-Disc5</t>
  </si>
  <si>
    <t>Well</t>
  </si>
  <si>
    <t>Sample</t>
  </si>
  <si>
    <t>Sno</t>
  </si>
  <si>
    <t>Planktonic
before</t>
  </si>
  <si>
    <t>Planktonic
after</t>
  </si>
  <si>
    <t>Disc
before</t>
  </si>
  <si>
    <t>Disc
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</si>
</sst>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CFU/disc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Feuil1!$A$19</c:f>
              <c:strCache>
                <c:ptCount val="1"/>
                <c:pt idx="0">
                  <c:v>Discs before Refill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Feuil1!$B$22:$F$22</c:f>
                <c:numCache>
                  <c:formatCode>General</c:formatCode>
                  <c:ptCount val="5"/>
                  <c:pt idx="0">
                    <c:v>1286759.4957877714</c:v>
                  </c:pt>
                  <c:pt idx="1">
                    <c:v>3927467.3773310962</c:v>
                  </c:pt>
                  <c:pt idx="2">
                    <c:v>2607680.9620810593</c:v>
                  </c:pt>
                  <c:pt idx="3">
                    <c:v>3154362.0591175007</c:v>
                  </c:pt>
                  <c:pt idx="4">
                    <c:v>265518.36094703508</c:v>
                  </c:pt>
                </c:numCache>
              </c:numRef>
            </c:plus>
            <c:minus>
              <c:numRef>
                <c:f>Feuil1!$B$22:$F$22</c:f>
                <c:numCache>
                  <c:formatCode>General</c:formatCode>
                  <c:ptCount val="5"/>
                  <c:pt idx="0">
                    <c:v>1286759.4957877714</c:v>
                  </c:pt>
                  <c:pt idx="1">
                    <c:v>3927467.3773310962</c:v>
                  </c:pt>
                  <c:pt idx="2">
                    <c:v>2607680.9620810593</c:v>
                  </c:pt>
                  <c:pt idx="3">
                    <c:v>3154362.0591175007</c:v>
                  </c:pt>
                  <c:pt idx="4">
                    <c:v>265518.36094703508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Feuil1!$B$4:$F$4</c:f>
              <c:strCache>
                <c:ptCount val="5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</c:strCache>
            </c:strRef>
          </c:cat>
          <c:val>
            <c:numRef>
              <c:f>Feuil1!$B$19:$F$19</c:f>
              <c:numCache>
                <c:formatCode>0.00E+00</c:formatCode>
                <c:ptCount val="5"/>
                <c:pt idx="0">
                  <c:v>3030000</c:v>
                </c:pt>
                <c:pt idx="1">
                  <c:v>7600000</c:v>
                </c:pt>
                <c:pt idx="2">
                  <c:v>8900000</c:v>
                </c:pt>
                <c:pt idx="3">
                  <c:v>6200000</c:v>
                </c:pt>
                <c:pt idx="4">
                  <c:v>1310000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7-A742-BFEB-B9F05448981B}"/>
            </c:ext>
          </c:extLst>
        </c:ser>
        <c:ser>
          <c:idx val="1"/>
          <c:order val="1"/>
          <c:tx>
            <c:strRef>
              <c:f>Feuil1!$A$20</c:f>
              <c:strCache>
                <c:ptCount val="1"/>
                <c:pt idx="0">
                  <c:v>Discs after Refill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Feuil1!$B$23:$F$23</c:f>
                <c:numCache>
                  <c:formatCode>General</c:formatCode>
                  <c:ptCount val="5"/>
                  <c:pt idx="0">
                    <c:v>322877.6858192588</c:v>
                  </c:pt>
                  <c:pt idx="1">
                    <c:v>226384.62845343541</c:v>
                  </c:pt>
                  <c:pt idx="2">
                    <c:v>357770.87639996636</c:v>
                  </c:pt>
                  <c:pt idx="3">
                    <c:v>115108.64433221339</c:v>
                  </c:pt>
                  <c:pt idx="4">
                    <c:v>41833.001326703779</c:v>
                  </c:pt>
                </c:numCache>
              </c:numRef>
            </c:plus>
            <c:minus>
              <c:numRef>
                <c:f>Feuil1!$B$23:$F$23</c:f>
                <c:numCache>
                  <c:formatCode>General</c:formatCode>
                  <c:ptCount val="5"/>
                  <c:pt idx="0">
                    <c:v>322877.6858192588</c:v>
                  </c:pt>
                  <c:pt idx="1">
                    <c:v>226384.62845343541</c:v>
                  </c:pt>
                  <c:pt idx="2">
                    <c:v>357770.87639996636</c:v>
                  </c:pt>
                  <c:pt idx="3">
                    <c:v>115108.64433221339</c:v>
                  </c:pt>
                  <c:pt idx="4">
                    <c:v>41833.001326703779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Feuil1!$B$4:$F$4</c:f>
              <c:strCache>
                <c:ptCount val="5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</c:strCache>
            </c:strRef>
          </c:cat>
          <c:val>
            <c:numRef>
              <c:f>Feuil1!$B$20:$F$20</c:f>
              <c:numCache>
                <c:formatCode>0.00E+00</c:formatCode>
                <c:ptCount val="5"/>
                <c:pt idx="0">
                  <c:v>740000</c:v>
                </c:pt>
                <c:pt idx="1">
                  <c:v>500000</c:v>
                </c:pt>
                <c:pt idx="2">
                  <c:v>640000</c:v>
                </c:pt>
                <c:pt idx="3">
                  <c:v>570000</c:v>
                </c:pt>
                <c:pt idx="4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7-A742-BFEB-B9F054489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230672"/>
        <c:axId val="645260352"/>
      </c:barChart>
      <c:catAx>
        <c:axId val="64523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60352"/>
        <c:crosses val="autoZero"/>
        <c:auto val="1"/>
        <c:lblAlgn val="ctr"/>
        <c:lblOffset val="100"/>
        <c:noMultiLvlLbl val="0"/>
      </c:catAx>
      <c:valAx>
        <c:axId val="6452603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3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CFU/mL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Feuil1!$A$5</c:f>
              <c:strCache>
                <c:ptCount val="1"/>
                <c:pt idx="0">
                  <c:v>Plk after O/N (CFU/mL, total volume = 5mL)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Feuil1!$B$4:$F$4</c:f>
              <c:strCache>
                <c:ptCount val="5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</c:strCache>
            </c:strRef>
          </c:cat>
          <c:val>
            <c:numRef>
              <c:f>Feuil1!$B$5:$F$5</c:f>
              <c:numCache>
                <c:formatCode>0.00E+00</c:formatCode>
                <c:ptCount val="5"/>
                <c:pt idx="0">
                  <c:v>1300000000</c:v>
                </c:pt>
                <c:pt idx="1">
                  <c:v>1100000000</c:v>
                </c:pt>
                <c:pt idx="2">
                  <c:v>1300000000</c:v>
                </c:pt>
                <c:pt idx="3">
                  <c:v>1000000000</c:v>
                </c:pt>
                <c:pt idx="4">
                  <c:v>1500000000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D-CE4D-B073-FC7433902655}"/>
            </c:ext>
          </c:extLst>
        </c:ser>
        <c:ser>
          <c:idx val="1"/>
          <c:order val="1"/>
          <c:tx>
            <c:strRef>
              <c:f>Feuil1!$A$6</c:f>
              <c:strCache>
                <c:ptCount val="1"/>
                <c:pt idx="0">
                  <c:v>Plk after Refill (CFU/mL, total volume = 5mL)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Feuil1!$B$4:$F$4</c:f>
              <c:strCache>
                <c:ptCount val="5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</c:strCache>
            </c:strRef>
          </c:cat>
          <c:val>
            <c:numRef>
              <c:f>Feuil1!$B$6:$F$6</c:f>
              <c:numCache>
                <c:formatCode>0.00E+00</c:formatCode>
                <c:ptCount val="5"/>
                <c:pt idx="0">
                  <c:v>20000000</c:v>
                </c:pt>
                <c:pt idx="1">
                  <c:v>19000000</c:v>
                </c:pt>
                <c:pt idx="2">
                  <c:v>17000000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D-CE4D-B073-FC7433902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236512"/>
        <c:axId val="639238224"/>
      </c:barChart>
      <c:catAx>
        <c:axId val="6392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238224"/>
        <c:crosses val="autoZero"/>
        <c:auto val="1"/>
        <c:lblAlgn val="ctr"/>
        <c:lblOffset val="100"/>
        <c:noMultiLvlLbl val="0"/>
      </c:catAx>
      <c:valAx>
        <c:axId val="639238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2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Absolute number of cells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Feuil1!$C$27:$C$30</c:f>
                <c:numCache>
                  <c:formatCode>General</c:formatCode>
                  <c:ptCount val="4"/>
                  <c:pt idx="0">
                    <c:v>974679434.48089635</c:v>
                  </c:pt>
                  <c:pt idx="1">
                    <c:v>39528470.752104744</c:v>
                  </c:pt>
                  <c:pt idx="2">
                    <c:v>3741537.1172821471</c:v>
                  </c:pt>
                  <c:pt idx="3">
                    <c:v>281839.19765237294</c:v>
                  </c:pt>
                </c:numCache>
              </c:numRef>
            </c:plus>
            <c:minus>
              <c:numRef>
                <c:f>Feuil1!$C$27:$C$30</c:f>
                <c:numCache>
                  <c:formatCode>General</c:formatCode>
                  <c:ptCount val="4"/>
                  <c:pt idx="0">
                    <c:v>974679434.48089635</c:v>
                  </c:pt>
                  <c:pt idx="1">
                    <c:v>39528470.752104744</c:v>
                  </c:pt>
                  <c:pt idx="2">
                    <c:v>3741537.1172821471</c:v>
                  </c:pt>
                  <c:pt idx="3">
                    <c:v>281839.19765237294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Feuil1!$A$27:$A$30</c:f>
              <c:strCache>
                <c:ptCount val="4"/>
                <c:pt idx="0">
                  <c:v>Plk after O/N</c:v>
                </c:pt>
                <c:pt idx="1">
                  <c:v>Plk after Refill</c:v>
                </c:pt>
                <c:pt idx="2">
                  <c:v>Discs before Refill</c:v>
                </c:pt>
                <c:pt idx="3">
                  <c:v>Discs after Refill</c:v>
                </c:pt>
              </c:strCache>
            </c:strRef>
          </c:cat>
          <c:val>
            <c:numRef>
              <c:f>Feuil1!$B$27:$B$30</c:f>
              <c:numCache>
                <c:formatCode>0.00E+00</c:formatCode>
                <c:ptCount val="4"/>
                <c:pt idx="0">
                  <c:v>6200000000</c:v>
                </c:pt>
                <c:pt idx="1">
                  <c:v>65000000</c:v>
                </c:pt>
                <c:pt idx="2">
                  <c:v>5408000</c:v>
                </c:pt>
                <c:pt idx="3">
                  <c:v>538000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F-2848-982C-202171704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340928"/>
        <c:axId val="645342640"/>
      </c:barChart>
      <c:catAx>
        <c:axId val="64534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42640"/>
        <c:crosses val="autoZero"/>
        <c:auto val="1"/>
        <c:lblAlgn val="ctr"/>
        <c:lblOffset val="100"/>
        <c:noMultiLvlLbl val="0"/>
      </c:catAx>
      <c:valAx>
        <c:axId val="645342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2</xdr:row>
      <xdr:rowOff>38100</xdr:rowOff>
    </xdr:from>
    <xdr:to>
      <xdr:col>12</xdr:col>
      <xdr:colOff>234950</xdr:colOff>
      <xdr:row>15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556B90-FC56-442F-AA71-1A3AA7A9F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279400</xdr:colOff>
      <xdr:row>2</xdr:row>
      <xdr:rowOff>38100</xdr:rowOff>
    </xdr:from>
    <xdr:to>
      <xdr:col>18</xdr:col>
      <xdr:colOff>266700</xdr:colOff>
      <xdr:row>15</xdr:row>
      <xdr:rowOff>101600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E74105A-DAB1-F7C7-D8CA-591F212C1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647700</xdr:colOff>
      <xdr:row>16</xdr:row>
      <xdr:rowOff>12700</xdr:rowOff>
    </xdr:from>
    <xdr:to>
      <xdr:col>13</xdr:col>
      <xdr:colOff>482600</xdr:colOff>
      <xdr:row>34</xdr:row>
      <xdr:rowOff>139700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B09B501-43DD-9435-E58D-53F73E9B2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D2" sqref="D2"/>
    </sheetView>
  </sheetViews>
  <sheetFormatPr defaultRowHeight="15"/>
  <cols>
    <col min="3" max="3" width="15.88671875" bestFit="1" customWidth="1"/>
  </cols>
  <sheetData>
    <row r="1" spans="1:4">
      <c r="A1" t="s">
        <v>26</v>
      </c>
      <c r="B1" t="s">
        <v>24</v>
      </c>
      <c r="C1" t="s">
        <v>25</v>
      </c>
      <c r="D1" s="2" t="s">
        <v>0</v>
      </c>
    </row>
    <row r="2" spans="1:4" ht="30">
      <c r="A2">
        <v>1</v>
      </c>
      <c r="B2" t="s">
        <v>0</v>
      </c>
      <c r="C2" s="4" t="s">
        <v>27</v>
      </c>
      <c r="D2" s="5">
        <f>(((7+6)/2)*10^6)/(5*10^-3)</f>
        <v>1300000000</v>
      </c>
    </row>
    <row r="3" spans="1:4" ht="30">
      <c r="A3">
        <v>2</v>
      </c>
      <c r="B3" t="s">
        <v>0</v>
      </c>
      <c r="C3" s="4" t="s">
        <v>28</v>
      </c>
      <c r="D3" s="5">
        <f>(((9+11)/2)*10^4)/(5*10^-3)</f>
        <v>20000000</v>
      </c>
    </row>
    <row r="4" spans="1:4" ht="30">
      <c r="A4">
        <v>3</v>
      </c>
      <c r="B4" t="s">
        <v>0</v>
      </c>
      <c r="C4" s="4" t="s">
        <v>29</v>
      </c>
      <c r="D4" s="3">
        <f>((((14+8)/2)*10^3)/(5*10^-3))/2</f>
        <v>1100000</v>
      </c>
    </row>
    <row r="5" spans="1:4" ht="30">
      <c r="A5">
        <v>4</v>
      </c>
      <c r="B5" t="s">
        <v>0</v>
      </c>
      <c r="C5" s="4" t="s">
        <v>29</v>
      </c>
      <c r="D5" s="3">
        <f>((((34+29)/2)*10^3)/(5*10^-3))/2</f>
        <v>3150000</v>
      </c>
    </row>
    <row r="6" spans="1:4" ht="30">
      <c r="A6">
        <v>5</v>
      </c>
      <c r="B6" t="s">
        <v>0</v>
      </c>
      <c r="C6" s="4" t="s">
        <v>29</v>
      </c>
      <c r="D6" s="3">
        <f>((((19+32)/2)*10^3)/(5*10^-3))/2</f>
        <v>2550000</v>
      </c>
    </row>
    <row r="7" spans="1:4" ht="30">
      <c r="A7">
        <v>6</v>
      </c>
      <c r="B7" t="s">
        <v>0</v>
      </c>
      <c r="C7" s="4" t="s">
        <v>29</v>
      </c>
      <c r="D7" s="3">
        <f>((((39+47)/2)*10^3)/(5*10^-3))/2</f>
        <v>4300000</v>
      </c>
    </row>
    <row r="8" spans="1:4" ht="30">
      <c r="A8">
        <v>7</v>
      </c>
      <c r="B8" t="s">
        <v>0</v>
      </c>
      <c r="C8" s="4" t="s">
        <v>29</v>
      </c>
      <c r="D8" s="3">
        <f>((((47+34)/2)*10^3)/(5*10^-3))/2</f>
        <v>4050000</v>
      </c>
    </row>
    <row r="9" spans="1:4" ht="30">
      <c r="A9">
        <v>8</v>
      </c>
      <c r="B9" t="s">
        <v>0</v>
      </c>
      <c r="C9" s="4" t="s">
        <v>30</v>
      </c>
      <c r="D9" s="3">
        <f>((((3+6)/2)*10^3)/(5*10^-3))/2</f>
        <v>450000</v>
      </c>
    </row>
    <row r="10" spans="1:4" ht="30">
      <c r="A10">
        <v>9</v>
      </c>
      <c r="B10" t="s">
        <v>0</v>
      </c>
      <c r="C10" s="4" t="s">
        <v>30</v>
      </c>
      <c r="D10" s="3">
        <f>((((7+5)/2)*10^3)/(5*10^-3))/2</f>
        <v>600000</v>
      </c>
    </row>
    <row r="11" spans="1:4" ht="30">
      <c r="A11">
        <v>10</v>
      </c>
      <c r="B11" t="s">
        <v>0</v>
      </c>
      <c r="C11" s="4" t="s">
        <v>30</v>
      </c>
      <c r="D11" s="3">
        <f>((((2+8)/2)*10^3)/(5*10^-3))/2</f>
        <v>500000</v>
      </c>
    </row>
    <row r="12" spans="1:4" ht="30">
      <c r="A12">
        <v>11</v>
      </c>
      <c r="B12" t="s">
        <v>0</v>
      </c>
      <c r="C12" s="4" t="s">
        <v>30</v>
      </c>
      <c r="D12" s="3">
        <f>((((11+8)/2)*10^3)/(5*10^-3))/2</f>
        <v>950000</v>
      </c>
    </row>
    <row r="13" spans="1:4" ht="30">
      <c r="A13">
        <v>12</v>
      </c>
      <c r="B13" t="s">
        <v>0</v>
      </c>
      <c r="C13" s="4" t="s">
        <v>30</v>
      </c>
      <c r="D13" s="3">
        <f>((((15+9)/2)*10^3)/(5*10^-3))/2</f>
        <v>1200000</v>
      </c>
    </row>
    <row r="14" spans="1:4" ht="30">
      <c r="A14">
        <v>13</v>
      </c>
      <c r="B14" t="s">
        <v>1</v>
      </c>
      <c r="C14" s="4" t="s">
        <v>27</v>
      </c>
      <c r="D14" s="5">
        <f>(((8+3)/2)*10^6)/(5*10^-3)</f>
        <v>1100000000</v>
      </c>
    </row>
    <row r="15" spans="1:4" ht="30">
      <c r="A15">
        <v>14</v>
      </c>
      <c r="B15" t="s">
        <v>1</v>
      </c>
      <c r="C15" s="4" t="s">
        <v>28</v>
      </c>
      <c r="D15" s="5">
        <f>(((9+10)/2)*10^4)/(5*10^-3)</f>
        <v>19000000</v>
      </c>
    </row>
    <row r="16" spans="1:4" ht="30">
      <c r="A16">
        <v>15</v>
      </c>
      <c r="B16" t="s">
        <v>1</v>
      </c>
      <c r="C16" s="4" t="s">
        <v>29</v>
      </c>
      <c r="D16" s="3">
        <f>((((6+4)/2)*10^4)/(5*10^-3))/2</f>
        <v>5000000</v>
      </c>
    </row>
    <row r="17" spans="1:4" ht="30">
      <c r="A17">
        <v>16</v>
      </c>
      <c r="B17" t="s">
        <v>1</v>
      </c>
      <c r="C17" s="4" t="s">
        <v>29</v>
      </c>
      <c r="D17" s="3">
        <f>((((2+2)/2)*10^4)/(5*10^-3))/2</f>
        <v>2000000</v>
      </c>
    </row>
    <row r="18" spans="1:4" ht="30">
      <c r="A18">
        <v>17</v>
      </c>
      <c r="B18" t="s">
        <v>1</v>
      </c>
      <c r="C18" s="4" t="s">
        <v>29</v>
      </c>
      <c r="D18" s="3">
        <f>((((8+11)/2)*10^4)/(5*10^-3))/2</f>
        <v>9500000</v>
      </c>
    </row>
    <row r="19" spans="1:4" ht="30">
      <c r="A19">
        <v>18</v>
      </c>
      <c r="B19" t="s">
        <v>1</v>
      </c>
      <c r="C19" s="4" t="s">
        <v>29</v>
      </c>
      <c r="D19" s="3">
        <f>((((8+14)/2)*10^4)/(5*10^-3))/2</f>
        <v>11000000</v>
      </c>
    </row>
    <row r="20" spans="1:4" ht="30">
      <c r="A20">
        <v>19</v>
      </c>
      <c r="B20" t="s">
        <v>1</v>
      </c>
      <c r="C20" s="4" t="s">
        <v>29</v>
      </c>
      <c r="D20" s="3">
        <f>((((9+12)/2)*10^4)/(5*10^-3))/2</f>
        <v>10500000</v>
      </c>
    </row>
    <row r="21" spans="1:4" ht="30">
      <c r="A21">
        <v>20</v>
      </c>
      <c r="B21" t="s">
        <v>1</v>
      </c>
      <c r="C21" s="4" t="s">
        <v>30</v>
      </c>
      <c r="D21" s="3">
        <f>((((4+6)/2)*10^3)/(5*10^-3))/2</f>
        <v>500000</v>
      </c>
    </row>
    <row r="22" spans="1:4" ht="30">
      <c r="A22">
        <v>21</v>
      </c>
      <c r="B22" t="s">
        <v>1</v>
      </c>
      <c r="C22" s="4" t="s">
        <v>30</v>
      </c>
      <c r="D22" s="3">
        <f>((((5+10)/2)*10^3)/(5*10^-3))/2</f>
        <v>750000</v>
      </c>
    </row>
    <row r="23" spans="1:4" ht="30">
      <c r="A23">
        <v>22</v>
      </c>
      <c r="B23" t="s">
        <v>1</v>
      </c>
      <c r="C23" s="4" t="s">
        <v>30</v>
      </c>
      <c r="D23" s="3">
        <f>((((2+3)/2)*10^3)/(5*10^-3))/2</f>
        <v>250000</v>
      </c>
    </row>
    <row r="24" spans="1:4" ht="30">
      <c r="A24">
        <v>23</v>
      </c>
      <c r="B24" t="s">
        <v>1</v>
      </c>
      <c r="C24" s="4" t="s">
        <v>30</v>
      </c>
      <c r="D24" s="3">
        <f>((((7+7)/2)*10^3)/(5*10^-3))/2</f>
        <v>700000</v>
      </c>
    </row>
    <row r="25" spans="1:4" ht="30">
      <c r="A25">
        <v>24</v>
      </c>
      <c r="B25" t="s">
        <v>1</v>
      </c>
      <c r="C25" s="4" t="s">
        <v>30</v>
      </c>
      <c r="D25" s="3">
        <f>((((3+3)/2)*10^3)/(5*10^-3))/2</f>
        <v>300000</v>
      </c>
    </row>
    <row r="26" spans="1:4" ht="30">
      <c r="A26">
        <v>25</v>
      </c>
      <c r="B26" t="s">
        <v>2</v>
      </c>
      <c r="C26" s="4" t="s">
        <v>27</v>
      </c>
      <c r="D26" s="5">
        <f>(((5+8)/2)*10^6)/(5*10^-3)</f>
        <v>1300000000</v>
      </c>
    </row>
    <row r="27" spans="1:4" ht="30">
      <c r="A27">
        <v>26</v>
      </c>
      <c r="B27" t="s">
        <v>2</v>
      </c>
      <c r="C27" s="4" t="s">
        <v>28</v>
      </c>
      <c r="D27" s="5">
        <f>(((6+11)/2)*10^4)/(5*10^-3)</f>
        <v>17000000</v>
      </c>
    </row>
    <row r="28" spans="1:4" ht="30">
      <c r="A28">
        <v>27</v>
      </c>
      <c r="B28" t="s">
        <v>2</v>
      </c>
      <c r="C28" s="4" t="s">
        <v>29</v>
      </c>
      <c r="D28" s="3">
        <f>((((6+14)/2)*10^4)/(5*10^-3))/2</f>
        <v>10000000</v>
      </c>
    </row>
    <row r="29" spans="1:4" ht="30">
      <c r="A29">
        <v>28</v>
      </c>
      <c r="B29" t="s">
        <v>2</v>
      </c>
      <c r="C29" s="4" t="s">
        <v>29</v>
      </c>
      <c r="D29" s="3">
        <f>((((5+5)/2)*10^4)/(5*10^-3))/2</f>
        <v>5000000</v>
      </c>
    </row>
    <row r="30" spans="1:4" ht="30">
      <c r="A30">
        <v>29</v>
      </c>
      <c r="B30" t="s">
        <v>2</v>
      </c>
      <c r="C30" s="4" t="s">
        <v>29</v>
      </c>
      <c r="D30" s="3">
        <f>((((6+10)/2)*10^4)/(5*10^-3))/2</f>
        <v>8000000</v>
      </c>
    </row>
    <row r="31" spans="1:4" ht="30">
      <c r="A31">
        <v>30</v>
      </c>
      <c r="B31" t="s">
        <v>2</v>
      </c>
      <c r="C31" s="4" t="s">
        <v>29</v>
      </c>
      <c r="D31" s="3">
        <f>((((9+10)/2)*10^4)/(5*10^-3))/2</f>
        <v>9500000</v>
      </c>
    </row>
    <row r="32" spans="1:4" ht="30">
      <c r="A32">
        <v>31</v>
      </c>
      <c r="B32" t="s">
        <v>2</v>
      </c>
      <c r="C32" s="4" t="s">
        <v>29</v>
      </c>
      <c r="D32" s="3">
        <f>((((13+11)/2)*10^4)/(5*10^-3))/2</f>
        <v>12000000</v>
      </c>
    </row>
    <row r="33" spans="1:4" ht="30">
      <c r="A33">
        <v>32</v>
      </c>
      <c r="B33" t="s">
        <v>2</v>
      </c>
      <c r="C33" s="4" t="s">
        <v>30</v>
      </c>
      <c r="D33" s="3">
        <f>((((4+3)/2)*10^3)/(5*10^-3))/2</f>
        <v>350000</v>
      </c>
    </row>
    <row r="34" spans="1:4" ht="30">
      <c r="A34">
        <v>33</v>
      </c>
      <c r="B34" t="s">
        <v>2</v>
      </c>
      <c r="C34" s="4" t="s">
        <v>30</v>
      </c>
      <c r="D34" s="3">
        <f>((((9+8)/2)*10^3)/(5*10^-3))/2</f>
        <v>850000</v>
      </c>
    </row>
    <row r="35" spans="1:4" ht="30">
      <c r="A35">
        <v>34</v>
      </c>
      <c r="B35" t="s">
        <v>2</v>
      </c>
      <c r="C35" s="4" t="s">
        <v>30</v>
      </c>
      <c r="D35" s="3">
        <f>((((3+3)/2)*10^3)/(5*10^-3))/2</f>
        <v>300000</v>
      </c>
    </row>
    <row r="36" spans="1:4" ht="30">
      <c r="A36">
        <v>35</v>
      </c>
      <c r="B36" t="s">
        <v>2</v>
      </c>
      <c r="C36" s="4" t="s">
        <v>30</v>
      </c>
      <c r="D36" s="3">
        <f>((((5+6)/2)*10^3)/(5*10^-3))/2</f>
        <v>550000</v>
      </c>
    </row>
    <row r="37" spans="1:4" ht="30">
      <c r="A37">
        <v>36</v>
      </c>
      <c r="B37" t="s">
        <v>2</v>
      </c>
      <c r="C37" s="4" t="s">
        <v>30</v>
      </c>
      <c r="D37" s="3">
        <f>((((9+14)/2)*10^3)/(5*10^-3))/2</f>
        <v>1150000</v>
      </c>
    </row>
    <row r="38" spans="1:4" ht="30">
      <c r="A38">
        <v>37</v>
      </c>
      <c r="B38" t="s">
        <v>3</v>
      </c>
      <c r="C38" s="4" t="s">
        <v>27</v>
      </c>
      <c r="D38" s="5">
        <f>(((4+6)/2)*10^6)/(5*10^-3)</f>
        <v>1000000000</v>
      </c>
    </row>
    <row r="39" spans="1:4" ht="30">
      <c r="A39">
        <v>38</v>
      </c>
      <c r="B39" t="s">
        <v>3</v>
      </c>
      <c r="C39" s="4" t="s">
        <v>28</v>
      </c>
      <c r="D39" s="5">
        <f>(((1+2)/2)*10^4)/(5*10^-3)</f>
        <v>3000000</v>
      </c>
    </row>
    <row r="40" spans="1:4" ht="30">
      <c r="A40">
        <v>39</v>
      </c>
      <c r="B40" t="s">
        <v>3</v>
      </c>
      <c r="C40" s="4" t="s">
        <v>29</v>
      </c>
      <c r="D40" s="3">
        <f>((((7+12)/2)*10^4)/(5*10^-3))/2</f>
        <v>9500000</v>
      </c>
    </row>
    <row r="41" spans="1:4" ht="30">
      <c r="A41">
        <v>40</v>
      </c>
      <c r="B41" t="s">
        <v>3</v>
      </c>
      <c r="C41" s="4" t="s">
        <v>29</v>
      </c>
      <c r="D41" s="3">
        <f>((((5+6)/2)*10^4)/(5*10^-3))/2</f>
        <v>5500000</v>
      </c>
    </row>
    <row r="42" spans="1:4" ht="30">
      <c r="A42">
        <v>41</v>
      </c>
      <c r="B42" t="s">
        <v>3</v>
      </c>
      <c r="C42" s="4" t="s">
        <v>29</v>
      </c>
      <c r="D42" s="3">
        <f>((((4+2)/2)*10^4)/(5*10^-3))/2</f>
        <v>3000000</v>
      </c>
    </row>
    <row r="43" spans="1:4" ht="30">
      <c r="A43">
        <v>42</v>
      </c>
      <c r="B43" t="s">
        <v>3</v>
      </c>
      <c r="C43" s="4" t="s">
        <v>29</v>
      </c>
      <c r="D43" s="3">
        <f>((((7+12)/2)*10^4)/(5*10^-3))/2</f>
        <v>9500000</v>
      </c>
    </row>
    <row r="44" spans="1:4" ht="30">
      <c r="A44">
        <v>43</v>
      </c>
      <c r="B44" t="s">
        <v>3</v>
      </c>
      <c r="C44" s="4" t="s">
        <v>29</v>
      </c>
      <c r="D44" s="3">
        <f>((((3+4)/2)*10^4)/(5*10^-3))/2</f>
        <v>3500000</v>
      </c>
    </row>
    <row r="45" spans="1:4" ht="30">
      <c r="A45">
        <v>44</v>
      </c>
      <c r="B45" t="s">
        <v>3</v>
      </c>
      <c r="C45" s="4" t="s">
        <v>30</v>
      </c>
      <c r="D45" s="3">
        <f>((((7+7)/2)*10^3)/(5*10^-3))/2</f>
        <v>700000</v>
      </c>
    </row>
    <row r="46" spans="1:4" ht="30">
      <c r="A46">
        <v>45</v>
      </c>
      <c r="B46" t="s">
        <v>3</v>
      </c>
      <c r="C46" s="4" t="s">
        <v>30</v>
      </c>
      <c r="D46" s="3">
        <f>((((4+5)/2)*10^3)/(5*10^-3))/2</f>
        <v>450000</v>
      </c>
    </row>
    <row r="47" spans="1:4" ht="30">
      <c r="A47">
        <v>46</v>
      </c>
      <c r="B47" t="s">
        <v>3</v>
      </c>
      <c r="C47" s="4" t="s">
        <v>30</v>
      </c>
      <c r="D47" s="3">
        <f>((((4+5)/2)*10^3)/(5*10^-3))/2</f>
        <v>450000</v>
      </c>
    </row>
    <row r="48" spans="1:4" ht="30">
      <c r="A48">
        <v>47</v>
      </c>
      <c r="B48" t="s">
        <v>3</v>
      </c>
      <c r="C48" s="4" t="s">
        <v>30</v>
      </c>
      <c r="D48" s="3">
        <f>((((7+6)/2)*10^3)/(5*10^-3))/2</f>
        <v>650000</v>
      </c>
    </row>
    <row r="49" spans="1:4" ht="30">
      <c r="A49">
        <v>48</v>
      </c>
      <c r="B49" t="s">
        <v>3</v>
      </c>
      <c r="C49" s="4" t="s">
        <v>30</v>
      </c>
      <c r="D49" s="3">
        <f>((((6+6)/2)*10^3)/(5*10^-3))/2</f>
        <v>600000</v>
      </c>
    </row>
    <row r="50" spans="1:4" ht="30">
      <c r="A50">
        <v>49</v>
      </c>
      <c r="B50" t="s">
        <v>4</v>
      </c>
      <c r="C50" s="4" t="s">
        <v>27</v>
      </c>
      <c r="D50" s="5">
        <f>(((9+6)/2)*10^6)/(5*10^-3)</f>
        <v>1500000000</v>
      </c>
    </row>
    <row r="51" spans="1:4" ht="30">
      <c r="A51">
        <v>50</v>
      </c>
      <c r="B51" t="s">
        <v>4</v>
      </c>
      <c r="C51" s="4" t="s">
        <v>28</v>
      </c>
      <c r="D51" s="5">
        <f>(((2+4)/2)*10^4)/(5*10^-3)</f>
        <v>6000000</v>
      </c>
    </row>
    <row r="52" spans="1:4" ht="30">
      <c r="A52">
        <v>51</v>
      </c>
      <c r="B52" t="s">
        <v>4</v>
      </c>
      <c r="C52" s="4" t="s">
        <v>29</v>
      </c>
      <c r="D52" s="3">
        <f>((((16+10)/2)*10^3)/(5*10^-3))/2</f>
        <v>1300000</v>
      </c>
    </row>
    <row r="53" spans="1:4" ht="30">
      <c r="A53">
        <v>52</v>
      </c>
      <c r="B53" t="s">
        <v>4</v>
      </c>
      <c r="C53" s="4" t="s">
        <v>29</v>
      </c>
      <c r="D53" s="3">
        <f>((((16+16)/2)*10^3)/(5*10^-3))/2</f>
        <v>1600000</v>
      </c>
    </row>
    <row r="54" spans="1:4" ht="30">
      <c r="A54">
        <v>53</v>
      </c>
      <c r="B54" t="s">
        <v>4</v>
      </c>
      <c r="C54" s="4" t="s">
        <v>29</v>
      </c>
      <c r="D54" s="3">
        <f>((((11+20)/2)*10^3)/(5*10^-3))/2</f>
        <v>1550000</v>
      </c>
    </row>
    <row r="55" spans="1:4" ht="30">
      <c r="A55">
        <v>54</v>
      </c>
      <c r="B55" t="s">
        <v>4</v>
      </c>
      <c r="C55" s="4" t="s">
        <v>29</v>
      </c>
      <c r="D55" s="3">
        <f>((((7+15)/2)*10^3)/(5*10^-3))/2</f>
        <v>1100000</v>
      </c>
    </row>
    <row r="56" spans="1:4" ht="30">
      <c r="A56">
        <v>55</v>
      </c>
      <c r="B56" t="s">
        <v>4</v>
      </c>
      <c r="C56" s="4" t="s">
        <v>29</v>
      </c>
      <c r="D56" s="3">
        <f>((((10+10)/2)*10^3)/(5*10^-3))/2</f>
        <v>1000000</v>
      </c>
    </row>
    <row r="57" spans="1:4" ht="30">
      <c r="A57">
        <v>56</v>
      </c>
      <c r="B57" t="s">
        <v>4</v>
      </c>
      <c r="C57" s="4" t="s">
        <v>30</v>
      </c>
      <c r="D57" s="3">
        <f>((((3+2)/2)*10^3)/(5*10^-3))/2</f>
        <v>250000</v>
      </c>
    </row>
    <row r="58" spans="1:4" ht="30">
      <c r="A58">
        <v>57</v>
      </c>
      <c r="B58" t="s">
        <v>4</v>
      </c>
      <c r="C58" s="4" t="s">
        <v>30</v>
      </c>
      <c r="D58" s="3">
        <f>((((2+2)/2)*10^3)/(5*10^-3))/2</f>
        <v>200000</v>
      </c>
    </row>
    <row r="59" spans="1:4" ht="30">
      <c r="A59">
        <v>58</v>
      </c>
      <c r="B59" t="s">
        <v>4</v>
      </c>
      <c r="C59" s="4" t="s">
        <v>30</v>
      </c>
      <c r="D59" s="3">
        <f>((((3+3)/2)*10^3)/(5*10^-3))/2</f>
        <v>300000</v>
      </c>
    </row>
    <row r="60" spans="1:4" ht="30">
      <c r="A60">
        <v>59</v>
      </c>
      <c r="B60" t="s">
        <v>4</v>
      </c>
      <c r="C60" s="4" t="s">
        <v>30</v>
      </c>
      <c r="D60" s="3">
        <f>((((2+2)/2)*10^3)/(5*10^-3))/2</f>
        <v>200000</v>
      </c>
    </row>
    <row r="61" spans="1:4" ht="30">
      <c r="A61">
        <v>60</v>
      </c>
      <c r="B61" t="s">
        <v>4</v>
      </c>
      <c r="C61" s="4" t="s">
        <v>30</v>
      </c>
      <c r="D61" s="3">
        <f>((((3+2)/2)*10^3)/(5*10^-3))/2</f>
        <v>250000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35"/>
  <sheetViews>
    <sheetView tabSelected="1" topLeftCell="A3" workbookViewId="0">
      <selection activeCell="C30" sqref="C30"/>
    </sheetView>
  </sheetViews>
  <sheetFormatPr defaultColWidth="11.5546875" defaultRowHeight="15"/>
  <cols>
    <col min="1" max="1" width="21.109375" bestFit="1" customWidth="1"/>
    <col min="2" max="2" width="11.109375" style="2" bestFit="1" customWidth="1"/>
    <col min="3" max="6" width="10.77734375" style="2"/>
  </cols>
  <sheetData>
    <row r="4" spans="1:12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1:12" ht="30">
      <c r="A5" s="4" t="s">
        <v>7</v>
      </c>
      <c r="B5" s="5">
        <f>(((7+6)/2)*10^6)/(5*10^-3)</f>
        <v>1300000000</v>
      </c>
      <c r="C5" s="5">
        <f>(((8+3)/2)*10^6)/(5*10^-3)</f>
        <v>1100000000</v>
      </c>
      <c r="D5" s="5">
        <f>(((5+8)/2)*10^6)/(5*10^-3)</f>
        <v>1300000000</v>
      </c>
      <c r="E5" s="5">
        <f>(((4+6)/2)*10^6)/(5*10^-3)</f>
        <v>1000000000</v>
      </c>
      <c r="F5" s="5">
        <f>(((9+6)/2)*10^6)/(5*10^-3)</f>
        <v>1500000000</v>
      </c>
    </row>
    <row r="6" spans="1:12" ht="30">
      <c r="A6" s="4" t="s">
        <v>10</v>
      </c>
      <c r="B6" s="5">
        <f>(((9+11)/2)*10^4)/(5*10^-3)</f>
        <v>20000000</v>
      </c>
      <c r="C6" s="5">
        <f>(((9+10)/2)*10^4)/(5*10^-3)</f>
        <v>19000000</v>
      </c>
      <c r="D6" s="5">
        <f>(((6+11)/2)*10^4)/(5*10^-3)</f>
        <v>17000000</v>
      </c>
      <c r="E6" s="5">
        <f>(((1+2)/2)*10^4)/(5*10^-3)</f>
        <v>3000000</v>
      </c>
      <c r="F6" s="5">
        <f>(((2+4)/2)*10^4)/(5*10^-3)</f>
        <v>6000000</v>
      </c>
      <c r="H6" s="1"/>
      <c r="I6" s="1"/>
      <c r="J6" s="1"/>
      <c r="K6" s="1"/>
      <c r="L6" s="1"/>
    </row>
    <row r="7" spans="1:12">
      <c r="A7" t="s">
        <v>14</v>
      </c>
      <c r="B7" s="3">
        <f>((((14+8)/2)*10^3)/(5*10^-3))/2</f>
        <v>1100000</v>
      </c>
      <c r="C7" s="3">
        <f>((((6+4)/2)*10^4)/(5*10^-3))/2</f>
        <v>5000000</v>
      </c>
      <c r="D7" s="3">
        <f>((((6+14)/2)*10^4)/(5*10^-3))/2</f>
        <v>10000000</v>
      </c>
      <c r="E7" s="3">
        <f>((((7+12)/2)*10^4)/(5*10^-3))/2</f>
        <v>9500000</v>
      </c>
      <c r="F7" s="3">
        <f>((((16+10)/2)*10^3)/(5*10^-3))/2</f>
        <v>1300000</v>
      </c>
    </row>
    <row r="8" spans="1:12">
      <c r="A8" t="s">
        <v>15</v>
      </c>
      <c r="B8" s="3">
        <f>((((34+29)/2)*10^3)/(5*10^-3))/2</f>
        <v>3150000</v>
      </c>
      <c r="C8" s="3">
        <f>((((2+2)/2)*10^4)/(5*10^-3))/2</f>
        <v>2000000</v>
      </c>
      <c r="D8" s="3">
        <f>((((5+5)/2)*10^4)/(5*10^-3))/2</f>
        <v>5000000</v>
      </c>
      <c r="E8" s="3">
        <f>((((5+6)/2)*10^4)/(5*10^-3))/2</f>
        <v>5500000</v>
      </c>
      <c r="F8" s="3">
        <f>((((16+16)/2)*10^3)/(5*10^-3))/2</f>
        <v>1600000</v>
      </c>
    </row>
    <row r="9" spans="1:12">
      <c r="A9" t="s">
        <v>16</v>
      </c>
      <c r="B9" s="3">
        <f>((((19+32)/2)*10^3)/(5*10^-3))/2</f>
        <v>2550000</v>
      </c>
      <c r="C9" s="3">
        <f>((((8+11)/2)*10^4)/(5*10^-3))/2</f>
        <v>9500000</v>
      </c>
      <c r="D9" s="3">
        <f>((((6+10)/2)*10^4)/(5*10^-3))/2</f>
        <v>8000000</v>
      </c>
      <c r="E9" s="3">
        <f>((((4+2)/2)*10^4)/(5*10^-3))/2</f>
        <v>3000000</v>
      </c>
      <c r="F9" s="3">
        <f>((((11+20)/2)*10^3)/(5*10^-3))/2</f>
        <v>1550000</v>
      </c>
    </row>
    <row r="10" spans="1:12">
      <c r="A10" t="s">
        <v>17</v>
      </c>
      <c r="B10" s="3">
        <f>((((39+47)/2)*10^3)/(5*10^-3))/2</f>
        <v>4300000</v>
      </c>
      <c r="C10" s="3">
        <f>((((8+14)/2)*10^4)/(5*10^-3))/2</f>
        <v>11000000</v>
      </c>
      <c r="D10" s="3">
        <f>((((9+10)/2)*10^4)/(5*10^-3))/2</f>
        <v>9500000</v>
      </c>
      <c r="E10" s="3">
        <f>((((7+12)/2)*10^4)/(5*10^-3))/2</f>
        <v>9500000</v>
      </c>
      <c r="F10" s="3">
        <f>((((7+15)/2)*10^3)/(5*10^-3))/2</f>
        <v>1100000</v>
      </c>
    </row>
    <row r="11" spans="1:12">
      <c r="A11" t="s">
        <v>18</v>
      </c>
      <c r="B11" s="3">
        <f>((((47+34)/2)*10^3)/(5*10^-3))/2</f>
        <v>4050000</v>
      </c>
      <c r="C11" s="3">
        <f>((((9+12)/2)*10^4)/(5*10^-3))/2</f>
        <v>10500000</v>
      </c>
      <c r="D11" s="3">
        <f>((((13+11)/2)*10^4)/(5*10^-3))/2</f>
        <v>12000000</v>
      </c>
      <c r="E11" s="3">
        <f>((((3+4)/2)*10^4)/(5*10^-3))/2</f>
        <v>3500000</v>
      </c>
      <c r="F11" s="3">
        <f>((((10+10)/2)*10^3)/(5*10^-3))/2</f>
        <v>1000000</v>
      </c>
    </row>
    <row r="12" spans="1:12">
      <c r="A12" t="s">
        <v>19</v>
      </c>
      <c r="B12" s="3">
        <f>((((3+6)/2)*10^3)/(5*10^-3))/2</f>
        <v>450000</v>
      </c>
      <c r="C12" s="3">
        <f>((((4+6)/2)*10^3)/(5*10^-3))/2</f>
        <v>500000</v>
      </c>
      <c r="D12" s="3">
        <f>((((4+3)/2)*10^3)/(5*10^-3))/2</f>
        <v>350000</v>
      </c>
      <c r="E12" s="3">
        <f>((((7+7)/2)*10^3)/(5*10^-3))/2</f>
        <v>700000</v>
      </c>
      <c r="F12" s="3">
        <f>((((3+2)/2)*10^3)/(5*10^-3))/2</f>
        <v>250000</v>
      </c>
    </row>
    <row r="13" spans="1:12">
      <c r="A13" t="s">
        <v>20</v>
      </c>
      <c r="B13" s="3">
        <f>((((7+5)/2)*10^3)/(5*10^-3))/2</f>
        <v>600000</v>
      </c>
      <c r="C13" s="3">
        <f>((((5+10)/2)*10^3)/(5*10^-3))/2</f>
        <v>750000</v>
      </c>
      <c r="D13" s="3">
        <f>((((9+8)/2)*10^3)/(5*10^-3))/2</f>
        <v>850000</v>
      </c>
      <c r="E13" s="3">
        <f>((((4+5)/2)*10^3)/(5*10^-3))/2</f>
        <v>450000</v>
      </c>
      <c r="F13" s="3">
        <f>((((2+2)/2)*10^3)/(5*10^-3))/2</f>
        <v>200000</v>
      </c>
    </row>
    <row r="14" spans="1:12">
      <c r="A14" t="s">
        <v>21</v>
      </c>
      <c r="B14" s="3">
        <f>((((2+8)/2)*10^3)/(5*10^-3))/2</f>
        <v>500000</v>
      </c>
      <c r="C14" s="3">
        <f>((((2+3)/2)*10^3)/(5*10^-3))/2</f>
        <v>250000</v>
      </c>
      <c r="D14" s="3">
        <f>((((3+3)/2)*10^3)/(5*10^-3))/2</f>
        <v>300000</v>
      </c>
      <c r="E14" s="3">
        <f>((((4+5)/2)*10^3)/(5*10^-3))/2</f>
        <v>450000</v>
      </c>
      <c r="F14" s="3">
        <f>((((3+3)/2)*10^3)/(5*10^-3))/2</f>
        <v>300000</v>
      </c>
    </row>
    <row r="15" spans="1:12">
      <c r="A15" t="s">
        <v>22</v>
      </c>
      <c r="B15" s="3">
        <f>((((11+8)/2)*10^3)/(5*10^-3))/2</f>
        <v>950000</v>
      </c>
      <c r="C15" s="3">
        <f>((((7+7)/2)*10^3)/(5*10^-3))/2</f>
        <v>700000</v>
      </c>
      <c r="D15" s="3">
        <f>((((5+6)/2)*10^3)/(5*10^-3))/2</f>
        <v>550000</v>
      </c>
      <c r="E15" s="3">
        <f>((((7+6)/2)*10^3)/(5*10^-3))/2</f>
        <v>650000</v>
      </c>
      <c r="F15" s="3">
        <f>((((2+2)/2)*10^3)/(5*10^-3))/2</f>
        <v>200000</v>
      </c>
    </row>
    <row r="16" spans="1:12">
      <c r="A16" t="s">
        <v>23</v>
      </c>
      <c r="B16" s="3">
        <f>((((15+9)/2)*10^3)/(5*10^-3))/2</f>
        <v>1200000</v>
      </c>
      <c r="C16" s="3">
        <f>((((3+3)/2)*10^3)/(5*10^-3))/2</f>
        <v>300000</v>
      </c>
      <c r="D16" s="3">
        <f>((((9+14)/2)*10^3)/(5*10^-3))/2</f>
        <v>1150000</v>
      </c>
      <c r="E16" s="3">
        <f>((((6+6)/2)*10^3)/(5*10^-3))/2</f>
        <v>600000</v>
      </c>
      <c r="F16" s="3">
        <f>((((3+2)/2)*10^3)/(5*10^-3))/2</f>
        <v>250000</v>
      </c>
    </row>
    <row r="18" spans="1:6">
      <c r="A18" t="s">
        <v>5</v>
      </c>
    </row>
    <row r="19" spans="1:6">
      <c r="A19" t="s">
        <v>11</v>
      </c>
      <c r="B19" s="3">
        <f>AVERAGE(B7:B11)</f>
        <v>3030000</v>
      </c>
      <c r="C19" s="3">
        <f>AVERAGE(C7:C11)</f>
        <v>7600000</v>
      </c>
      <c r="D19" s="3">
        <f>AVERAGE(D7:D11)</f>
        <v>8900000</v>
      </c>
      <c r="E19" s="3">
        <f>AVERAGE(E7:E11)</f>
        <v>6200000</v>
      </c>
      <c r="F19" s="3">
        <f>AVERAGE(F7:F11)</f>
        <v>1310000</v>
      </c>
    </row>
    <row r="20" spans="1:6">
      <c r="A20" t="s">
        <v>12</v>
      </c>
      <c r="B20" s="3">
        <f>AVERAGE(B12:B16)</f>
        <v>740000</v>
      </c>
      <c r="C20" s="3">
        <f>AVERAGE(C12:C16)</f>
        <v>500000</v>
      </c>
      <c r="D20" s="3">
        <f>AVERAGE(D12:D16)</f>
        <v>640000</v>
      </c>
      <c r="E20" s="3">
        <f>AVERAGE(E12:E16)</f>
        <v>570000</v>
      </c>
      <c r="F20" s="3">
        <f>AVERAGE(F12:F16)</f>
        <v>240000</v>
      </c>
    </row>
    <row r="21" spans="1:6">
      <c r="B21" s="3"/>
      <c r="C21" s="3"/>
      <c r="D21" s="3"/>
      <c r="E21" s="3"/>
      <c r="F21" s="3"/>
    </row>
    <row r="22" spans="1:6">
      <c r="A22" t="s">
        <v>6</v>
      </c>
      <c r="B22" s="3">
        <f>STDEV(B7:B11)</f>
        <v>1286759.4957877714</v>
      </c>
      <c r="C22" s="3">
        <f>STDEV(C7:C11)</f>
        <v>3927467.3773310962</v>
      </c>
      <c r="D22" s="3">
        <f>STDEV(D7:D11)</f>
        <v>2607680.9620810593</v>
      </c>
      <c r="E22" s="3">
        <f>STDEV(E7:E11)</f>
        <v>3154362.0591175007</v>
      </c>
      <c r="F22" s="3">
        <f>STDEV(F7:F11)</f>
        <v>265518.36094703508</v>
      </c>
    </row>
    <row r="23" spans="1:6">
      <c r="B23" s="3">
        <f>STDEV(B12:B16)</f>
        <v>322877.6858192588</v>
      </c>
      <c r="C23" s="3">
        <f>STDEV(C12:C16)</f>
        <v>226384.62845343541</v>
      </c>
      <c r="D23" s="3">
        <f>STDEV(D12:D16)</f>
        <v>357770.87639996636</v>
      </c>
      <c r="E23" s="3">
        <f>STDEV(E12:E16)</f>
        <v>115108.64433221339</v>
      </c>
      <c r="F23" s="3">
        <f>STDEV(F12:F16)</f>
        <v>41833.001326703779</v>
      </c>
    </row>
    <row r="25" spans="1:6" ht="15.75">
      <c r="A25" s="6"/>
      <c r="B25" s="7" t="s">
        <v>9</v>
      </c>
      <c r="C25" s="8"/>
    </row>
    <row r="26" spans="1:6" ht="15.75">
      <c r="A26" s="6"/>
      <c r="B26" s="8" t="s">
        <v>5</v>
      </c>
      <c r="C26" s="8" t="s">
        <v>6</v>
      </c>
    </row>
    <row r="27" spans="1:6" ht="15.75">
      <c r="A27" s="6" t="s">
        <v>8</v>
      </c>
      <c r="B27" s="9">
        <v>6200000000</v>
      </c>
      <c r="C27" s="9">
        <v>974679434.48089635</v>
      </c>
    </row>
    <row r="28" spans="1:6" ht="15.75">
      <c r="A28" s="6" t="s">
        <v>13</v>
      </c>
      <c r="B28" s="9">
        <v>65000000</v>
      </c>
      <c r="C28" s="9">
        <v>39528470.752104744</v>
      </c>
    </row>
    <row r="29" spans="1:6" ht="15.75">
      <c r="A29" s="6" t="s">
        <v>11</v>
      </c>
      <c r="B29" s="9">
        <v>5408000</v>
      </c>
      <c r="C29" s="9">
        <v>3741537.1172821471</v>
      </c>
    </row>
    <row r="30" spans="1:6" ht="15.75">
      <c r="A30" s="6" t="s">
        <v>12</v>
      </c>
      <c r="B30" s="9">
        <v>538000</v>
      </c>
      <c r="C30" s="9">
        <v>281839.19765237294</v>
      </c>
    </row>
    <row r="31" spans="1:6">
      <c r="C31" s="3"/>
    </row>
    <row r="34" spans="2:6">
      <c r="B34" s="3"/>
      <c r="C34" s="3"/>
      <c r="D34" s="3"/>
      <c r="E34" s="3"/>
      <c r="F34" s="3"/>
    </row>
    <row r="35" spans="2:6">
      <c r="B35" s="3"/>
      <c r="C35" s="3"/>
      <c r="D35" s="3"/>
      <c r="E35" s="3"/>
      <c r="F35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Stanislas  THIRIET RUPERT</dc:creator>
  <cp:lastModifiedBy>Alaksh CHOUDHURY</cp:lastModifiedBy>
  <dcterms:created xsi:type="dcterms:W3CDTF">2025-10-02T15:43:53Z</dcterms:created>
  <dcterms:modified xsi:type="dcterms:W3CDTF">2025-12-04T16:38:10Z</dcterms:modified>
</cp:coreProperties>
</file>