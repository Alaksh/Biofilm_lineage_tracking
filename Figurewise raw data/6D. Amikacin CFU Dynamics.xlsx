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houdhu\Research\Metabolic Engineering - Genoscope\Planning and Experiments\Biofilms\Manuscript\Final draft\Submission code\Figurewise raw data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" i="1" l="1"/>
  <c r="T2" i="1"/>
  <c r="W4" i="1"/>
  <c r="T4" i="1"/>
  <c r="K2" i="1"/>
  <c r="B2" i="1"/>
</calcChain>
</file>

<file path=xl/sharedStrings.xml><?xml version="1.0" encoding="utf-8"?>
<sst xmlns="http://schemas.openxmlformats.org/spreadsheetml/2006/main" count="25" uniqueCount="25">
  <si>
    <t>Time</t>
  </si>
  <si>
    <t>Plank_WellA</t>
  </si>
  <si>
    <t>DiscA1</t>
  </si>
  <si>
    <t>DiscA2</t>
  </si>
  <si>
    <t>DiscA3</t>
  </si>
  <si>
    <t>Plank_WellA_res</t>
  </si>
  <si>
    <t>DiscA1_res</t>
  </si>
  <si>
    <t>DiscA2_res</t>
  </si>
  <si>
    <t>DiscA3_res</t>
  </si>
  <si>
    <t>Plank_WellB</t>
  </si>
  <si>
    <t>DiscB1</t>
  </si>
  <si>
    <t>DiscB2</t>
  </si>
  <si>
    <t>DiscB3</t>
  </si>
  <si>
    <t>DiscB1_res</t>
  </si>
  <si>
    <t>DiscB2_res</t>
  </si>
  <si>
    <t>DiscB3_res</t>
  </si>
  <si>
    <t>Plank_WellB_res</t>
  </si>
  <si>
    <t>FlaskA</t>
  </si>
  <si>
    <t>FlaskA_res</t>
  </si>
  <si>
    <t>FlaskB</t>
  </si>
  <si>
    <t>FlaskB_res</t>
  </si>
  <si>
    <t>Plank_WellA_res4</t>
  </si>
  <si>
    <t>Plank_WellB_res4</t>
  </si>
  <si>
    <t>FlaskA_res4</t>
  </si>
  <si>
    <t>FlaskB_res4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</si>
</sst>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1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tabSelected="1" workbookViewId="0">
      <selection activeCell="E22" sqref="E22"/>
    </sheetView>
  </sheetViews>
  <sheetFormatPr defaultRowHeight="15" x14ac:dyDescent="0.25"/>
  <cols>
    <col min="2" max="2" width="12.42578125" bestFit="1" customWidth="1"/>
    <col min="3" max="5" width="9.5703125" bestFit="1" customWidth="1"/>
    <col min="6" max="6" width="16.140625" bestFit="1" customWidth="1"/>
    <col min="7" max="7" width="16.140625" customWidth="1"/>
    <col min="8" max="10" width="10.5703125" bestFit="1" customWidth="1"/>
    <col min="11" max="11" width="12.28515625" bestFit="1" customWidth="1"/>
    <col min="12" max="14" width="9.5703125" bestFit="1" customWidth="1"/>
    <col min="15" max="15" width="16.140625" bestFit="1" customWidth="1"/>
    <col min="16" max="16" width="16.140625" customWidth="1"/>
    <col min="17" max="19" width="10.42578125" bestFit="1" customWidth="1"/>
    <col min="21" max="21" width="10.42578125" bestFit="1" customWidth="1"/>
    <col min="22" max="22" width="10.42578125" customWidth="1"/>
    <col min="24" max="24" width="10.28515625" bestFit="1" customWidth="1"/>
    <col min="25" max="25" width="11.28515625" bestFit="1" customWidth="1"/>
  </cols>
  <sheetData>
    <row r="1" spans="1: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21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16</v>
      </c>
      <c r="P1" s="3" t="s">
        <v>22</v>
      </c>
      <c r="Q1" s="3" t="s">
        <v>13</v>
      </c>
      <c r="R1" s="3" t="s">
        <v>14</v>
      </c>
      <c r="S1" s="3" t="s">
        <v>15</v>
      </c>
      <c r="T1" s="3" t="s">
        <v>17</v>
      </c>
      <c r="U1" s="3" t="s">
        <v>18</v>
      </c>
      <c r="V1" s="3" t="s">
        <v>23</v>
      </c>
      <c r="W1" s="3" t="s">
        <v>19</v>
      </c>
      <c r="X1" s="3" t="s">
        <v>20</v>
      </c>
      <c r="Y1" s="3" t="s">
        <v>24</v>
      </c>
    </row>
    <row r="2" spans="1:25" ht="15.75" x14ac:dyDescent="0.25">
      <c r="A2" s="4">
        <v>0</v>
      </c>
      <c r="B2" s="1">
        <f>(((27+24+22+13)/4)*10^4)/(5*10^(-3))</f>
        <v>43000000</v>
      </c>
      <c r="C2" s="4"/>
      <c r="D2" s="4"/>
      <c r="E2" s="4"/>
      <c r="F2" s="2">
        <v>0</v>
      </c>
      <c r="G2" s="7">
        <v>0</v>
      </c>
      <c r="H2" s="4"/>
      <c r="I2" s="4"/>
      <c r="J2" s="4"/>
      <c r="K2" s="1">
        <f>(((27+24+22+13)/4)*10^4)/(5*10^(-3))</f>
        <v>43000000</v>
      </c>
      <c r="L2" s="4"/>
      <c r="M2" s="4"/>
      <c r="N2" s="4"/>
      <c r="O2" s="5">
        <v>0</v>
      </c>
      <c r="P2" s="5">
        <v>0</v>
      </c>
      <c r="Q2" s="4"/>
      <c r="R2" s="4"/>
      <c r="S2" s="4"/>
      <c r="T2" s="1">
        <f>(((27+24+22+13)/4)*10^4)/(5*10^(-3))</f>
        <v>43000000</v>
      </c>
      <c r="U2" s="4">
        <v>0</v>
      </c>
      <c r="V2" s="4">
        <v>0</v>
      </c>
      <c r="W2" s="1">
        <f>(((27+24+22+13)/4)*10^4)/(5*10^(-3))</f>
        <v>43000000</v>
      </c>
      <c r="X2" s="4">
        <v>0</v>
      </c>
      <c r="Y2" s="4">
        <v>0</v>
      </c>
    </row>
    <row r="3" spans="1:25" ht="15.75" x14ac:dyDescent="0.25">
      <c r="A3" s="4">
        <v>1</v>
      </c>
      <c r="B3" s="6">
        <v>1400000000</v>
      </c>
      <c r="C3" s="6">
        <v>3450000</v>
      </c>
      <c r="D3" s="6">
        <v>2600000</v>
      </c>
      <c r="E3" s="6">
        <v>1900000</v>
      </c>
      <c r="F3" s="2">
        <v>0</v>
      </c>
      <c r="G3" s="7">
        <v>0</v>
      </c>
      <c r="H3" s="5">
        <v>0</v>
      </c>
      <c r="I3" s="5">
        <v>0</v>
      </c>
      <c r="J3" s="5">
        <v>0</v>
      </c>
      <c r="K3" s="6">
        <v>1550000000</v>
      </c>
      <c r="L3" s="6">
        <v>3450000</v>
      </c>
      <c r="M3" s="6">
        <v>2800000</v>
      </c>
      <c r="N3" s="6">
        <v>5350000</v>
      </c>
      <c r="O3" s="5">
        <v>0</v>
      </c>
      <c r="P3" s="7">
        <v>0</v>
      </c>
      <c r="Q3" s="5">
        <v>0</v>
      </c>
      <c r="R3" s="5">
        <v>0</v>
      </c>
      <c r="S3" s="5">
        <v>0</v>
      </c>
      <c r="T3" s="1">
        <v>2350000000</v>
      </c>
      <c r="U3" s="1">
        <v>5500</v>
      </c>
      <c r="V3" s="4">
        <v>0</v>
      </c>
      <c r="W3" s="1">
        <v>3350000000</v>
      </c>
      <c r="X3" s="1">
        <v>6500</v>
      </c>
      <c r="Y3" s="4">
        <v>0</v>
      </c>
    </row>
    <row r="4" spans="1:25" ht="15.75" x14ac:dyDescent="0.25">
      <c r="A4" s="4">
        <v>2</v>
      </c>
      <c r="B4" s="6">
        <v>90000</v>
      </c>
      <c r="C4" s="4"/>
      <c r="D4" s="4"/>
      <c r="E4" s="4"/>
      <c r="F4" s="6">
        <v>7000</v>
      </c>
      <c r="G4" s="7">
        <v>0</v>
      </c>
      <c r="H4" s="4"/>
      <c r="I4" s="4"/>
      <c r="J4" s="4"/>
      <c r="K4" s="6">
        <v>120000</v>
      </c>
      <c r="L4" s="4"/>
      <c r="M4" s="4"/>
      <c r="N4" s="4"/>
      <c r="O4" s="6">
        <v>1550</v>
      </c>
      <c r="P4" s="7">
        <v>0</v>
      </c>
      <c r="Q4" s="4"/>
      <c r="R4" s="4"/>
      <c r="S4" s="4"/>
      <c r="T4" s="1">
        <f>(((3+9+6+5)/4)*10^3)/(5*10^(-3))</f>
        <v>1150000</v>
      </c>
      <c r="U4" s="2">
        <v>0</v>
      </c>
      <c r="V4" s="4">
        <v>0</v>
      </c>
      <c r="W4" s="1">
        <f>(((2+3+1+1)/4)*10^3)/(5*10^(-3))</f>
        <v>350000</v>
      </c>
      <c r="X4" s="2">
        <v>0</v>
      </c>
      <c r="Y4" s="4">
        <v>0</v>
      </c>
    </row>
    <row r="5" spans="1:25" ht="15.75" x14ac:dyDescent="0.25">
      <c r="A5" s="4">
        <v>3</v>
      </c>
      <c r="B5" s="6">
        <v>2700000000</v>
      </c>
      <c r="C5" s="4"/>
      <c r="D5" s="4"/>
      <c r="E5" s="4"/>
      <c r="F5" s="6">
        <v>7500</v>
      </c>
      <c r="G5" s="7">
        <v>0</v>
      </c>
      <c r="H5" s="4"/>
      <c r="I5" s="4"/>
      <c r="J5" s="4"/>
      <c r="K5" s="6">
        <v>2150000000</v>
      </c>
      <c r="L5" s="4"/>
      <c r="M5" s="4"/>
      <c r="N5" s="4"/>
      <c r="O5" s="6">
        <v>3500</v>
      </c>
      <c r="P5" s="7">
        <v>0</v>
      </c>
      <c r="Q5" s="4"/>
      <c r="R5" s="4"/>
      <c r="S5" s="4"/>
      <c r="T5" s="4"/>
      <c r="U5" s="4"/>
      <c r="V5" s="4">
        <v>0</v>
      </c>
      <c r="W5" s="4"/>
      <c r="X5" s="4"/>
      <c r="Y5" s="4">
        <v>0</v>
      </c>
    </row>
    <row r="6" spans="1:25" ht="15.75" x14ac:dyDescent="0.25">
      <c r="A6" s="4">
        <v>4</v>
      </c>
      <c r="B6" s="6">
        <v>1050000000</v>
      </c>
      <c r="C6" s="6">
        <v>22500000</v>
      </c>
      <c r="D6" s="6">
        <v>22500000</v>
      </c>
      <c r="E6" s="6">
        <v>17000000</v>
      </c>
      <c r="F6" s="6">
        <v>3000</v>
      </c>
      <c r="G6" s="7">
        <v>0</v>
      </c>
      <c r="H6" s="6">
        <v>650</v>
      </c>
      <c r="I6" s="6">
        <v>650</v>
      </c>
      <c r="J6" s="6">
        <v>450</v>
      </c>
      <c r="K6" s="6">
        <v>800000000</v>
      </c>
      <c r="L6" s="6">
        <v>5450000</v>
      </c>
      <c r="M6" s="6">
        <v>12000000</v>
      </c>
      <c r="N6" s="6">
        <v>33500000</v>
      </c>
      <c r="O6" s="5">
        <v>0</v>
      </c>
      <c r="P6" s="7">
        <v>0</v>
      </c>
      <c r="Q6" s="5">
        <v>0</v>
      </c>
      <c r="R6" s="6">
        <v>200</v>
      </c>
      <c r="S6" s="6">
        <v>350</v>
      </c>
      <c r="T6" s="1">
        <v>7100000000</v>
      </c>
      <c r="U6" s="1">
        <v>3000</v>
      </c>
      <c r="V6" s="4">
        <v>0</v>
      </c>
      <c r="W6" s="1">
        <v>6500000000</v>
      </c>
      <c r="X6" s="1">
        <v>4000</v>
      </c>
      <c r="Y6" s="4">
        <v>0</v>
      </c>
    </row>
    <row r="7" spans="1:25" ht="15.75" x14ac:dyDescent="0.25">
      <c r="A7" s="4">
        <v>5</v>
      </c>
      <c r="B7" s="6">
        <v>14000000</v>
      </c>
      <c r="C7" s="4"/>
      <c r="D7" s="4"/>
      <c r="E7" s="4"/>
      <c r="F7" s="6">
        <v>20000</v>
      </c>
      <c r="G7" s="7">
        <v>0</v>
      </c>
      <c r="H7" s="4"/>
      <c r="I7" s="4"/>
      <c r="J7" s="4"/>
      <c r="K7" s="6">
        <v>390000</v>
      </c>
      <c r="L7" s="4"/>
      <c r="M7" s="4"/>
      <c r="N7" s="4"/>
      <c r="O7" s="6">
        <v>1400</v>
      </c>
      <c r="P7" s="7">
        <v>0</v>
      </c>
      <c r="Q7" s="4"/>
      <c r="R7" s="4"/>
      <c r="S7" s="4"/>
      <c r="T7" s="1">
        <v>14500</v>
      </c>
      <c r="U7" s="2">
        <v>0</v>
      </c>
      <c r="V7" s="4">
        <v>0</v>
      </c>
      <c r="W7" s="1">
        <v>43500</v>
      </c>
      <c r="X7" s="2">
        <v>0</v>
      </c>
      <c r="Y7" s="4">
        <v>0</v>
      </c>
    </row>
    <row r="8" spans="1:25" ht="15.75" x14ac:dyDescent="0.25">
      <c r="A8" s="4">
        <v>6</v>
      </c>
      <c r="B8" s="6">
        <v>2350000000</v>
      </c>
      <c r="C8" s="4"/>
      <c r="D8" s="4"/>
      <c r="E8" s="4"/>
      <c r="F8" s="6">
        <v>26500</v>
      </c>
      <c r="G8" s="7">
        <v>0</v>
      </c>
      <c r="H8" s="4"/>
      <c r="I8" s="4"/>
      <c r="J8" s="4"/>
      <c r="K8" s="6">
        <v>2700000000</v>
      </c>
      <c r="L8" s="4"/>
      <c r="M8" s="4"/>
      <c r="N8" s="4"/>
      <c r="O8" s="6">
        <v>20000</v>
      </c>
      <c r="P8" s="7">
        <v>0</v>
      </c>
      <c r="Q8" s="4"/>
      <c r="R8" s="4"/>
      <c r="S8" s="4"/>
      <c r="T8" s="4"/>
      <c r="U8" s="4"/>
      <c r="V8" s="4">
        <v>0</v>
      </c>
      <c r="W8" s="4"/>
      <c r="X8" s="4"/>
      <c r="Y8" s="4">
        <v>0</v>
      </c>
    </row>
    <row r="9" spans="1:25" ht="15.75" x14ac:dyDescent="0.25">
      <c r="A9" s="4">
        <v>7</v>
      </c>
      <c r="B9" s="6">
        <v>1800000000</v>
      </c>
      <c r="C9" s="6">
        <v>23500000</v>
      </c>
      <c r="D9" s="6">
        <v>11000000</v>
      </c>
      <c r="E9" s="6">
        <v>13500000</v>
      </c>
      <c r="F9" s="6">
        <v>20500</v>
      </c>
      <c r="G9" s="7">
        <v>0</v>
      </c>
      <c r="H9" s="6">
        <v>3800</v>
      </c>
      <c r="I9" s="6">
        <v>700</v>
      </c>
      <c r="J9" s="6">
        <v>750</v>
      </c>
      <c r="K9" s="6">
        <v>1450000000</v>
      </c>
      <c r="L9" s="6">
        <v>4500000</v>
      </c>
      <c r="M9" s="6">
        <v>4550000</v>
      </c>
      <c r="N9" s="6">
        <v>25500000</v>
      </c>
      <c r="O9" s="6">
        <v>5500</v>
      </c>
      <c r="P9" s="7">
        <v>0</v>
      </c>
      <c r="Q9" s="6">
        <v>800</v>
      </c>
      <c r="R9" s="6">
        <v>500</v>
      </c>
      <c r="S9" s="6">
        <v>1150</v>
      </c>
      <c r="T9" s="1">
        <v>7500000000</v>
      </c>
      <c r="U9" s="1">
        <v>3500</v>
      </c>
      <c r="V9" s="4">
        <v>0</v>
      </c>
      <c r="W9" s="1">
        <v>6350000000</v>
      </c>
      <c r="X9" s="1">
        <v>500</v>
      </c>
      <c r="Y9" s="4">
        <v>0</v>
      </c>
    </row>
    <row r="10" spans="1:25" ht="15.75" x14ac:dyDescent="0.25">
      <c r="A10" s="4">
        <v>8</v>
      </c>
      <c r="B10" s="6">
        <v>515000</v>
      </c>
      <c r="C10" s="4"/>
      <c r="D10" s="4"/>
      <c r="E10" s="4"/>
      <c r="F10" s="6">
        <v>250000</v>
      </c>
      <c r="G10" s="8">
        <v>650</v>
      </c>
      <c r="H10" s="4"/>
      <c r="I10" s="4"/>
      <c r="J10" s="4"/>
      <c r="K10" s="6">
        <v>49000</v>
      </c>
      <c r="L10" s="4"/>
      <c r="M10" s="4"/>
      <c r="N10" s="4"/>
      <c r="O10" s="6">
        <v>200</v>
      </c>
      <c r="P10" s="7">
        <v>0</v>
      </c>
      <c r="Q10" s="4"/>
      <c r="R10" s="4"/>
      <c r="S10" s="4"/>
      <c r="T10" s="1">
        <v>4300</v>
      </c>
      <c r="U10" s="2">
        <v>0</v>
      </c>
      <c r="V10" s="4">
        <v>0</v>
      </c>
      <c r="W10" s="1">
        <v>165000</v>
      </c>
      <c r="X10" s="2">
        <v>0</v>
      </c>
      <c r="Y10" s="4">
        <v>0</v>
      </c>
    </row>
    <row r="11" spans="1:25" ht="15.75" x14ac:dyDescent="0.25">
      <c r="A11" s="4">
        <v>9</v>
      </c>
      <c r="B11" s="6">
        <v>32000000</v>
      </c>
      <c r="C11" s="4"/>
      <c r="D11" s="4"/>
      <c r="E11" s="4"/>
      <c r="F11" s="6">
        <v>16500000</v>
      </c>
      <c r="G11" s="8">
        <v>16500</v>
      </c>
      <c r="H11" s="4"/>
      <c r="I11" s="4"/>
      <c r="J11" s="4"/>
      <c r="K11" s="6">
        <v>390000</v>
      </c>
      <c r="L11" s="4"/>
      <c r="M11" s="4"/>
      <c r="N11" s="4"/>
      <c r="O11" s="6">
        <v>40000</v>
      </c>
      <c r="P11" s="8">
        <v>7000</v>
      </c>
      <c r="Q11" s="4"/>
      <c r="R11" s="4"/>
      <c r="S11" s="4"/>
      <c r="T11" s="4"/>
      <c r="U11" s="4"/>
      <c r="V11" s="4">
        <v>0</v>
      </c>
      <c r="W11" s="4"/>
      <c r="X11" s="4"/>
      <c r="Y11" s="4">
        <v>0</v>
      </c>
    </row>
    <row r="12" spans="1:25" ht="15.75" x14ac:dyDescent="0.25">
      <c r="A12" s="4">
        <v>10</v>
      </c>
      <c r="B12" s="6">
        <v>1550000000</v>
      </c>
      <c r="C12" s="6">
        <v>15500000</v>
      </c>
      <c r="D12" s="6">
        <v>16000000</v>
      </c>
      <c r="E12" s="6">
        <v>11500000</v>
      </c>
      <c r="F12" s="6">
        <v>18500000</v>
      </c>
      <c r="G12" s="8">
        <v>2000</v>
      </c>
      <c r="H12" s="6">
        <v>65000</v>
      </c>
      <c r="I12" s="6">
        <v>50000</v>
      </c>
      <c r="J12" s="6">
        <v>38500</v>
      </c>
      <c r="K12" s="6">
        <v>1550000000</v>
      </c>
      <c r="L12" s="6">
        <v>5500000</v>
      </c>
      <c r="M12" s="6">
        <v>16500000</v>
      </c>
      <c r="N12" s="6">
        <v>27000000</v>
      </c>
      <c r="O12" s="6">
        <v>3000000</v>
      </c>
      <c r="P12" s="8">
        <v>1000</v>
      </c>
      <c r="Q12" s="6">
        <v>13500</v>
      </c>
      <c r="R12" s="6">
        <v>21500</v>
      </c>
      <c r="S12" s="6">
        <v>18000</v>
      </c>
      <c r="T12" s="1">
        <v>7150000000</v>
      </c>
      <c r="U12" s="1">
        <v>7000</v>
      </c>
      <c r="V12" s="4">
        <v>0</v>
      </c>
      <c r="W12" s="1">
        <v>7200000000</v>
      </c>
      <c r="X12" s="1">
        <v>7500</v>
      </c>
      <c r="Y12" s="4">
        <v>0</v>
      </c>
    </row>
    <row r="13" spans="1:25" ht="15.75" x14ac:dyDescent="0.25">
      <c r="A13" s="4">
        <v>11</v>
      </c>
      <c r="B13" s="6">
        <v>105000000</v>
      </c>
      <c r="C13" s="4"/>
      <c r="D13" s="4"/>
      <c r="E13" s="4"/>
      <c r="F13" s="6">
        <v>47000000</v>
      </c>
      <c r="G13" s="8">
        <v>1550</v>
      </c>
      <c r="H13" s="4"/>
      <c r="I13" s="4"/>
      <c r="J13" s="4"/>
      <c r="K13" s="6">
        <v>18500000</v>
      </c>
      <c r="L13" s="4"/>
      <c r="M13" s="4"/>
      <c r="N13" s="4"/>
      <c r="O13" s="6">
        <v>1400000</v>
      </c>
      <c r="P13" s="7">
        <v>0</v>
      </c>
      <c r="Q13" s="4"/>
      <c r="R13" s="4"/>
      <c r="S13" s="4"/>
      <c r="T13" s="1">
        <v>265000</v>
      </c>
      <c r="U13" s="2">
        <v>0</v>
      </c>
      <c r="V13" s="4">
        <v>0</v>
      </c>
      <c r="W13" s="1">
        <v>16000</v>
      </c>
      <c r="X13" s="2">
        <v>0</v>
      </c>
      <c r="Y13" s="4">
        <v>0</v>
      </c>
    </row>
    <row r="14" spans="1:25" ht="15.75" x14ac:dyDescent="0.25">
      <c r="A14" s="4">
        <v>12</v>
      </c>
      <c r="B14" s="6">
        <v>3600000000</v>
      </c>
      <c r="C14" s="4"/>
      <c r="D14" s="4"/>
      <c r="E14" s="4"/>
      <c r="F14" s="6">
        <v>850000</v>
      </c>
      <c r="G14" s="8">
        <v>950</v>
      </c>
      <c r="H14" s="4"/>
      <c r="I14" s="4"/>
      <c r="J14" s="4"/>
      <c r="K14" s="6">
        <v>3850000000</v>
      </c>
      <c r="L14" s="4"/>
      <c r="M14" s="4"/>
      <c r="N14" s="4"/>
      <c r="O14" s="6">
        <v>135000</v>
      </c>
      <c r="P14" s="7">
        <v>0</v>
      </c>
      <c r="Q14" s="4"/>
      <c r="R14" s="4"/>
      <c r="S14" s="4"/>
      <c r="T14" s="4"/>
      <c r="U14" s="4"/>
      <c r="V14" s="4">
        <v>0</v>
      </c>
      <c r="W14" s="4"/>
      <c r="X14" s="4"/>
      <c r="Y14" s="4">
        <v>0</v>
      </c>
    </row>
    <row r="15" spans="1:25" ht="15.75" x14ac:dyDescent="0.25">
      <c r="A15" s="4">
        <v>13</v>
      </c>
      <c r="B15" s="6">
        <v>2000000000</v>
      </c>
      <c r="C15" s="6">
        <v>50000000</v>
      </c>
      <c r="D15" s="6">
        <v>10500000</v>
      </c>
      <c r="E15" s="6">
        <v>27000000</v>
      </c>
      <c r="F15" s="6">
        <v>35500000</v>
      </c>
      <c r="G15" s="8">
        <v>8500</v>
      </c>
      <c r="H15" s="6">
        <v>3700000</v>
      </c>
      <c r="I15" s="6">
        <v>850000</v>
      </c>
      <c r="J15" s="6">
        <v>1700000</v>
      </c>
      <c r="K15" s="6">
        <v>1550000000</v>
      </c>
      <c r="L15" s="6">
        <v>28500000</v>
      </c>
      <c r="M15" s="6">
        <v>5000000</v>
      </c>
      <c r="N15" s="6">
        <v>23000000</v>
      </c>
      <c r="O15" s="6">
        <v>33500000</v>
      </c>
      <c r="P15" s="8">
        <v>2500</v>
      </c>
      <c r="Q15" s="6">
        <v>500000</v>
      </c>
      <c r="R15" s="6">
        <v>38500</v>
      </c>
      <c r="S15" s="6">
        <v>340000</v>
      </c>
      <c r="T15" s="1">
        <v>7550000000</v>
      </c>
      <c r="U15" s="1">
        <v>400</v>
      </c>
      <c r="V15" s="4">
        <v>0</v>
      </c>
      <c r="W15" s="1">
        <v>7050000000</v>
      </c>
      <c r="X15" s="1">
        <v>550</v>
      </c>
      <c r="Y15" s="4">
        <v>0</v>
      </c>
    </row>
    <row r="16" spans="1:25" ht="15.75" x14ac:dyDescent="0.25">
      <c r="A16" s="4">
        <v>14</v>
      </c>
      <c r="B16" s="6">
        <v>155000000</v>
      </c>
      <c r="C16" s="4"/>
      <c r="D16" s="4"/>
      <c r="E16" s="4"/>
      <c r="F16" s="6">
        <v>115000000</v>
      </c>
      <c r="G16" s="8">
        <v>36000</v>
      </c>
      <c r="H16" s="4"/>
      <c r="I16" s="4"/>
      <c r="J16" s="4"/>
      <c r="K16" s="6">
        <v>95000000</v>
      </c>
      <c r="L16" s="4"/>
      <c r="M16" s="4"/>
      <c r="N16" s="4"/>
      <c r="O16" s="6">
        <v>9500000</v>
      </c>
      <c r="P16" s="8">
        <v>1050</v>
      </c>
      <c r="Q16" s="4"/>
      <c r="R16" s="4"/>
      <c r="S16" s="4"/>
      <c r="T16" s="1">
        <v>505000</v>
      </c>
      <c r="U16" s="2">
        <v>0</v>
      </c>
      <c r="V16" s="4">
        <v>0</v>
      </c>
      <c r="W16" s="1">
        <v>41000</v>
      </c>
      <c r="X16" s="2">
        <v>0</v>
      </c>
      <c r="Y16" s="4">
        <v>0</v>
      </c>
    </row>
    <row r="17" spans="1:25" ht="15.75" x14ac:dyDescent="0.25">
      <c r="A17" s="4">
        <v>15</v>
      </c>
      <c r="B17" s="6">
        <v>2100000000</v>
      </c>
      <c r="C17" s="4"/>
      <c r="D17" s="4"/>
      <c r="E17" s="4"/>
      <c r="F17" s="6">
        <v>39000000</v>
      </c>
      <c r="G17" s="8">
        <v>13500</v>
      </c>
      <c r="H17" s="4"/>
      <c r="I17" s="4"/>
      <c r="J17" s="4"/>
      <c r="K17" s="6">
        <v>1850000000</v>
      </c>
      <c r="L17" s="4"/>
      <c r="M17" s="4"/>
      <c r="N17" s="4"/>
      <c r="O17" s="6">
        <v>5500000</v>
      </c>
      <c r="P17" s="8">
        <v>40000</v>
      </c>
      <c r="Q17" s="4"/>
      <c r="R17" s="4"/>
      <c r="S17" s="4"/>
      <c r="T17" s="4"/>
      <c r="U17" s="4"/>
      <c r="V17" s="4">
        <v>0</v>
      </c>
      <c r="W17" s="4"/>
      <c r="X17" s="4"/>
      <c r="Y17" s="4">
        <v>0</v>
      </c>
    </row>
    <row r="18" spans="1:25" ht="15.75" x14ac:dyDescent="0.25">
      <c r="A18" s="4">
        <v>16</v>
      </c>
      <c r="B18" s="6">
        <v>850000000</v>
      </c>
      <c r="C18" s="6">
        <v>29500000</v>
      </c>
      <c r="D18" s="6">
        <v>2550000</v>
      </c>
      <c r="E18" s="6">
        <v>3350000</v>
      </c>
      <c r="F18" s="6">
        <v>180000000</v>
      </c>
      <c r="G18" s="8">
        <v>1250</v>
      </c>
      <c r="H18" s="6">
        <v>31000000</v>
      </c>
      <c r="I18" s="6">
        <v>1200000</v>
      </c>
      <c r="J18" s="6">
        <v>900000</v>
      </c>
      <c r="K18" s="6">
        <v>1600000000</v>
      </c>
      <c r="L18" s="6">
        <v>9000000</v>
      </c>
      <c r="M18" s="6">
        <v>3700000</v>
      </c>
      <c r="N18" s="6">
        <v>20000000</v>
      </c>
      <c r="O18" s="6">
        <v>50000000</v>
      </c>
      <c r="P18" s="8">
        <v>2450</v>
      </c>
      <c r="Q18" s="6">
        <v>300000</v>
      </c>
      <c r="R18" s="6">
        <v>500000</v>
      </c>
      <c r="S18" s="6">
        <v>1200000</v>
      </c>
      <c r="T18" s="1">
        <v>10500000000</v>
      </c>
      <c r="U18" s="1">
        <v>1550</v>
      </c>
      <c r="V18" s="4">
        <v>0</v>
      </c>
      <c r="W18" s="1">
        <v>11500000000</v>
      </c>
      <c r="X18" s="1">
        <v>2450</v>
      </c>
      <c r="Y18" s="4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Alaksh CHOUDHURY</dc:creator>
  <cp:lastModifiedBy>Alaksh CHOUDHURY</cp:lastModifiedBy>
  <dcterms:created xsi:type="dcterms:W3CDTF">2025-09-15T07:43:33Z</dcterms:created>
  <dcterms:modified xsi:type="dcterms:W3CDTF">2025-12-16T15:06:39Z</dcterms:modified>
</cp:coreProperties>
</file>